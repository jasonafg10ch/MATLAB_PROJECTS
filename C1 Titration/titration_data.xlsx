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son\OneDrive\Desktop\Documents\MATLAB\"/>
    </mc:Choice>
  </mc:AlternateContent>
  <xr:revisionPtr revIDLastSave="0" documentId="13_ncr:1_{D5A0ABCD-8610-4649-BE6F-563B7CE49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4+ titration" sheetId="1" r:id="rId1"/>
    <sheet name="H3PO4 Titration" sheetId="2" r:id="rId2"/>
    <sheet name="Mystery 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5" i="1"/>
  <c r="F3" i="1"/>
  <c r="F4" i="1"/>
  <c r="H5" i="1" s="1"/>
  <c r="J5" i="1" s="1"/>
  <c r="G4" i="1"/>
  <c r="H4" i="1"/>
  <c r="J4" i="1" s="1"/>
  <c r="I4" i="1"/>
  <c r="K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L5" i="1" l="1"/>
  <c r="L6" i="1"/>
</calcChain>
</file>

<file path=xl/sharedStrings.xml><?xml version="1.0" encoding="utf-8"?>
<sst xmlns="http://schemas.openxmlformats.org/spreadsheetml/2006/main" count="31" uniqueCount="18">
  <si>
    <t>Run 1</t>
  </si>
  <si>
    <t>Run 2</t>
  </si>
  <si>
    <t>Vol. Ce4+ added (mL)</t>
  </si>
  <si>
    <t>E (mV)</t>
  </si>
  <si>
    <t>Titration 1</t>
  </si>
  <si>
    <t>Titration 2</t>
  </si>
  <si>
    <t>Vol. NaOH (mL)</t>
  </si>
  <si>
    <t>pH</t>
  </si>
  <si>
    <t>Rough</t>
  </si>
  <si>
    <t>Fine</t>
  </si>
  <si>
    <t>Vavg</t>
  </si>
  <si>
    <t>E</t>
  </si>
  <si>
    <t>dv</t>
  </si>
  <si>
    <t>dE</t>
  </si>
  <si>
    <t>dE/dv</t>
  </si>
  <si>
    <t>ddE/dv</t>
  </si>
  <si>
    <t>dV2</t>
  </si>
  <si>
    <t>Second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</si>
</sst>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N5" sqref="N5"/>
    </sheetView>
  </sheetViews>
  <sheetFormatPr defaultRowHeight="14.4" x14ac:dyDescent="0.3"/>
  <cols>
    <col min="1" max="2" width="16" customWidth="1"/>
    <col min="4" max="5" width="16" customWidth="1"/>
  </cols>
  <sheetData>
    <row r="1" spans="1:14" x14ac:dyDescent="0.3">
      <c r="A1" s="1" t="s">
        <v>0</v>
      </c>
      <c r="D1" s="1" t="s">
        <v>1</v>
      </c>
    </row>
    <row r="2" spans="1:14" x14ac:dyDescent="0.3">
      <c r="A2" s="2" t="s">
        <v>2</v>
      </c>
      <c r="B2" s="2" t="s">
        <v>3</v>
      </c>
      <c r="D2" s="2" t="s">
        <v>2</v>
      </c>
      <c r="E2" s="2" t="s">
        <v>3</v>
      </c>
      <c r="F2" s="5" t="s">
        <v>11</v>
      </c>
      <c r="G2" s="5" t="s">
        <v>10</v>
      </c>
      <c r="H2" s="5" t="s">
        <v>13</v>
      </c>
      <c r="I2" s="5" t="s">
        <v>12</v>
      </c>
      <c r="J2" s="5" t="s">
        <v>14</v>
      </c>
      <c r="K2" s="5" t="s">
        <v>10</v>
      </c>
      <c r="L2" s="5" t="s">
        <v>15</v>
      </c>
      <c r="M2" s="5" t="s">
        <v>16</v>
      </c>
      <c r="N2" s="5" t="s">
        <v>17</v>
      </c>
    </row>
    <row r="3" spans="1:14" x14ac:dyDescent="0.3">
      <c r="A3" s="3">
        <v>0</v>
      </c>
      <c r="B3" s="3">
        <v>464</v>
      </c>
      <c r="D3" s="3">
        <v>0</v>
      </c>
      <c r="E3" s="3">
        <v>457.8</v>
      </c>
      <c r="F3">
        <f>E3/1000</f>
        <v>0.45779999999999998</v>
      </c>
    </row>
    <row r="4" spans="1:14" x14ac:dyDescent="0.3">
      <c r="A4" s="3">
        <v>1</v>
      </c>
      <c r="B4" s="3">
        <v>474.5</v>
      </c>
      <c r="D4" s="3">
        <v>1</v>
      </c>
      <c r="E4" s="3">
        <v>470.3</v>
      </c>
      <c r="F4">
        <f t="shared" ref="F4:F29" si="0">E4/1000</f>
        <v>0.4703</v>
      </c>
      <c r="G4">
        <f>(D3+D4)/2</f>
        <v>0.5</v>
      </c>
      <c r="H4">
        <f>F4-F3</f>
        <v>1.2500000000000011E-2</v>
      </c>
      <c r="I4">
        <f>D4-D3</f>
        <v>1</v>
      </c>
      <c r="J4">
        <f>H4/I4</f>
        <v>1.2500000000000011E-2</v>
      </c>
    </row>
    <row r="5" spans="1:14" x14ac:dyDescent="0.3">
      <c r="A5" s="3">
        <v>2</v>
      </c>
      <c r="B5" s="3">
        <v>484.3</v>
      </c>
      <c r="D5" s="3">
        <v>2</v>
      </c>
      <c r="E5" s="3">
        <v>482</v>
      </c>
      <c r="F5">
        <f t="shared" si="0"/>
        <v>0.48199999999999998</v>
      </c>
      <c r="G5">
        <f t="shared" ref="G5:G29" si="1">(D4+D5)/2</f>
        <v>1.5</v>
      </c>
      <c r="H5">
        <f t="shared" ref="H5:H29" si="2">F5-F4</f>
        <v>1.1699999999999988E-2</v>
      </c>
      <c r="I5">
        <f t="shared" ref="I5:I29" si="3">D5-D4</f>
        <v>1</v>
      </c>
      <c r="J5">
        <f t="shared" ref="J5:J29" si="4">H5/I5</f>
        <v>1.1699999999999988E-2</v>
      </c>
      <c r="K5">
        <f>(G5+G4)/2</f>
        <v>1</v>
      </c>
      <c r="L5">
        <f>J5-J4</f>
        <v>-8.0000000000002292E-4</v>
      </c>
      <c r="M5">
        <f>G5-G4</f>
        <v>1</v>
      </c>
      <c r="N5">
        <f>L5/M5</f>
        <v>-8.0000000000002292E-4</v>
      </c>
    </row>
    <row r="6" spans="1:14" x14ac:dyDescent="0.3">
      <c r="A6" s="3">
        <v>3</v>
      </c>
      <c r="B6" s="3">
        <v>499.5</v>
      </c>
      <c r="D6" s="3">
        <v>3</v>
      </c>
      <c r="E6" s="3">
        <v>497.2</v>
      </c>
      <c r="F6">
        <f t="shared" si="0"/>
        <v>0.49719999999999998</v>
      </c>
      <c r="G6">
        <f t="shared" si="1"/>
        <v>2.5</v>
      </c>
      <c r="H6">
        <f t="shared" si="2"/>
        <v>1.5199999999999991E-2</v>
      </c>
      <c r="I6">
        <f t="shared" si="3"/>
        <v>1</v>
      </c>
      <c r="J6">
        <f t="shared" si="4"/>
        <v>1.5199999999999991E-2</v>
      </c>
      <c r="K6">
        <f t="shared" ref="K6:K29" si="5">(G6+G5)/2</f>
        <v>2</v>
      </c>
      <c r="L6">
        <f t="shared" ref="L6:L29" si="6">J6-J5</f>
        <v>3.5000000000000031E-3</v>
      </c>
      <c r="M6">
        <f t="shared" ref="M6:M29" si="7">G6-G5</f>
        <v>1</v>
      </c>
      <c r="N6">
        <f t="shared" ref="N6:N29" si="8">L6/M6</f>
        <v>3.5000000000000031E-3</v>
      </c>
    </row>
    <row r="7" spans="1:14" x14ac:dyDescent="0.3">
      <c r="A7" s="3">
        <v>4</v>
      </c>
      <c r="B7" s="3">
        <v>522</v>
      </c>
      <c r="D7" s="3">
        <v>4</v>
      </c>
      <c r="E7" s="3">
        <v>516.79999999999995</v>
      </c>
      <c r="F7">
        <f t="shared" si="0"/>
        <v>0.51679999999999993</v>
      </c>
      <c r="G7">
        <f t="shared" si="1"/>
        <v>3.5</v>
      </c>
      <c r="H7">
        <f t="shared" si="2"/>
        <v>1.9599999999999951E-2</v>
      </c>
      <c r="I7">
        <f t="shared" si="3"/>
        <v>1</v>
      </c>
      <c r="J7">
        <f t="shared" si="4"/>
        <v>1.9599999999999951E-2</v>
      </c>
      <c r="K7">
        <f t="shared" si="5"/>
        <v>3</v>
      </c>
      <c r="L7">
        <f t="shared" si="6"/>
        <v>4.3999999999999595E-3</v>
      </c>
      <c r="M7">
        <f t="shared" si="7"/>
        <v>1</v>
      </c>
      <c r="N7">
        <f t="shared" si="8"/>
        <v>4.3999999999999595E-3</v>
      </c>
    </row>
    <row r="8" spans="1:14" x14ac:dyDescent="0.3">
      <c r="A8" s="3">
        <v>5</v>
      </c>
      <c r="B8" s="3">
        <v>1061.7</v>
      </c>
      <c r="D8" s="3">
        <v>4.0999999999999996</v>
      </c>
      <c r="E8" s="3">
        <v>519.6</v>
      </c>
      <c r="F8">
        <f t="shared" si="0"/>
        <v>0.51960000000000006</v>
      </c>
      <c r="G8">
        <f t="shared" si="1"/>
        <v>4.05</v>
      </c>
      <c r="H8">
        <f t="shared" si="2"/>
        <v>2.8000000000001357E-3</v>
      </c>
      <c r="I8">
        <f t="shared" si="3"/>
        <v>9.9999999999999645E-2</v>
      </c>
      <c r="J8">
        <f t="shared" si="4"/>
        <v>2.8000000000001458E-2</v>
      </c>
      <c r="K8">
        <f t="shared" si="5"/>
        <v>3.7749999999999999</v>
      </c>
      <c r="L8">
        <f t="shared" si="6"/>
        <v>8.400000000001507E-3</v>
      </c>
      <c r="M8">
        <f t="shared" si="7"/>
        <v>0.54999999999999982</v>
      </c>
      <c r="N8">
        <f t="shared" si="8"/>
        <v>1.5272727272730017E-2</v>
      </c>
    </row>
    <row r="9" spans="1:14" x14ac:dyDescent="0.3">
      <c r="A9" s="3">
        <v>6</v>
      </c>
      <c r="B9" s="3">
        <v>1175.5</v>
      </c>
      <c r="D9" s="3">
        <v>4.2</v>
      </c>
      <c r="E9" s="3">
        <v>523.6</v>
      </c>
      <c r="F9">
        <f t="shared" si="0"/>
        <v>0.52360000000000007</v>
      </c>
      <c r="G9">
        <f t="shared" si="1"/>
        <v>4.1500000000000004</v>
      </c>
      <c r="H9">
        <f t="shared" si="2"/>
        <v>4.0000000000000036E-3</v>
      </c>
      <c r="I9">
        <f t="shared" si="3"/>
        <v>0.10000000000000053</v>
      </c>
      <c r="J9">
        <f t="shared" si="4"/>
        <v>3.999999999999982E-2</v>
      </c>
      <c r="K9">
        <f t="shared" si="5"/>
        <v>4.0999999999999996</v>
      </c>
      <c r="L9">
        <f t="shared" si="6"/>
        <v>1.1999999999998363E-2</v>
      </c>
      <c r="M9">
        <f t="shared" si="7"/>
        <v>0.10000000000000053</v>
      </c>
      <c r="N9">
        <f t="shared" si="8"/>
        <v>0.11999999999998298</v>
      </c>
    </row>
    <row r="10" spans="1:14" x14ac:dyDescent="0.3">
      <c r="A10" s="3">
        <v>7</v>
      </c>
      <c r="B10" s="3">
        <v>1194.7</v>
      </c>
      <c r="D10" s="3">
        <v>4.3</v>
      </c>
      <c r="E10" s="3">
        <v>527.1</v>
      </c>
      <c r="F10">
        <f t="shared" si="0"/>
        <v>0.52710000000000001</v>
      </c>
      <c r="G10">
        <f t="shared" si="1"/>
        <v>4.25</v>
      </c>
      <c r="H10">
        <f t="shared" si="2"/>
        <v>3.4999999999999476E-3</v>
      </c>
      <c r="I10">
        <f t="shared" si="3"/>
        <v>9.9999999999999645E-2</v>
      </c>
      <c r="J10">
        <f t="shared" si="4"/>
        <v>3.4999999999999601E-2</v>
      </c>
      <c r="K10">
        <f t="shared" si="5"/>
        <v>4.2</v>
      </c>
      <c r="L10">
        <f t="shared" si="6"/>
        <v>-5.0000000000002195E-3</v>
      </c>
      <c r="M10">
        <f t="shared" si="7"/>
        <v>9.9999999999999645E-2</v>
      </c>
      <c r="N10">
        <f t="shared" si="8"/>
        <v>-5.0000000000002376E-2</v>
      </c>
    </row>
    <row r="11" spans="1:14" x14ac:dyDescent="0.3">
      <c r="A11" s="3">
        <v>8</v>
      </c>
      <c r="B11" s="3">
        <v>1206.0999999999999</v>
      </c>
      <c r="D11" s="3">
        <v>4.4000000000000004</v>
      </c>
      <c r="E11" s="3">
        <v>530.6</v>
      </c>
      <c r="F11">
        <f t="shared" si="0"/>
        <v>0.53060000000000007</v>
      </c>
      <c r="G11">
        <f t="shared" si="1"/>
        <v>4.3499999999999996</v>
      </c>
      <c r="H11">
        <f t="shared" si="2"/>
        <v>3.5000000000000586E-3</v>
      </c>
      <c r="I11">
        <f t="shared" si="3"/>
        <v>0.10000000000000053</v>
      </c>
      <c r="J11">
        <f t="shared" si="4"/>
        <v>3.5000000000000399E-2</v>
      </c>
      <c r="K11">
        <f t="shared" si="5"/>
        <v>4.3</v>
      </c>
      <c r="L11">
        <f t="shared" si="6"/>
        <v>7.9797279894933126E-16</v>
      </c>
      <c r="M11">
        <f t="shared" si="7"/>
        <v>9.9999999999999645E-2</v>
      </c>
      <c r="N11">
        <f t="shared" si="8"/>
        <v>7.979727989493341E-15</v>
      </c>
    </row>
    <row r="12" spans="1:14" x14ac:dyDescent="0.3">
      <c r="A12" s="3">
        <v>9</v>
      </c>
      <c r="B12" s="3">
        <v>1214.8</v>
      </c>
      <c r="D12" s="3">
        <v>4.5</v>
      </c>
      <c r="E12" s="3">
        <v>535.70000000000005</v>
      </c>
      <c r="F12">
        <f t="shared" si="0"/>
        <v>0.53570000000000007</v>
      </c>
      <c r="G12">
        <f t="shared" si="1"/>
        <v>4.45</v>
      </c>
      <c r="H12">
        <f t="shared" si="2"/>
        <v>5.0999999999999934E-3</v>
      </c>
      <c r="I12">
        <f t="shared" si="3"/>
        <v>9.9999999999999645E-2</v>
      </c>
      <c r="J12">
        <f t="shared" si="4"/>
        <v>5.1000000000000115E-2</v>
      </c>
      <c r="K12">
        <f t="shared" si="5"/>
        <v>4.4000000000000004</v>
      </c>
      <c r="L12">
        <f t="shared" si="6"/>
        <v>1.5999999999999716E-2</v>
      </c>
      <c r="M12">
        <f t="shared" si="7"/>
        <v>0.10000000000000053</v>
      </c>
      <c r="N12">
        <f t="shared" si="8"/>
        <v>0.15999999999999631</v>
      </c>
    </row>
    <row r="13" spans="1:14" x14ac:dyDescent="0.3">
      <c r="A13" s="3">
        <v>10</v>
      </c>
      <c r="B13" s="3">
        <v>1220.3</v>
      </c>
      <c r="D13" s="3">
        <v>4.5999999999999996</v>
      </c>
      <c r="E13" s="3">
        <v>541.20000000000005</v>
      </c>
      <c r="F13">
        <f t="shared" si="0"/>
        <v>0.54120000000000001</v>
      </c>
      <c r="G13">
        <f t="shared" si="1"/>
        <v>4.55</v>
      </c>
      <c r="H13">
        <f t="shared" si="2"/>
        <v>5.4999999999999494E-3</v>
      </c>
      <c r="I13">
        <f t="shared" si="3"/>
        <v>9.9999999999999645E-2</v>
      </c>
      <c r="J13">
        <f t="shared" si="4"/>
        <v>5.4999999999999688E-2</v>
      </c>
      <c r="K13">
        <f t="shared" si="5"/>
        <v>4.5</v>
      </c>
      <c r="L13">
        <f t="shared" si="6"/>
        <v>3.9999999999995733E-3</v>
      </c>
      <c r="M13">
        <f t="shared" si="7"/>
        <v>9.9999999999999645E-2</v>
      </c>
      <c r="N13">
        <f t="shared" si="8"/>
        <v>3.9999999999995872E-2</v>
      </c>
    </row>
    <row r="14" spans="1:14" x14ac:dyDescent="0.3">
      <c r="D14" s="3">
        <v>4.7</v>
      </c>
      <c r="E14" s="3">
        <v>546.5</v>
      </c>
      <c r="F14">
        <f t="shared" si="0"/>
        <v>0.54649999999999999</v>
      </c>
      <c r="G14">
        <f t="shared" si="1"/>
        <v>4.6500000000000004</v>
      </c>
      <c r="H14">
        <f t="shared" si="2"/>
        <v>5.2999999999999714E-3</v>
      </c>
      <c r="I14">
        <f t="shared" si="3"/>
        <v>0.10000000000000053</v>
      </c>
      <c r="J14">
        <f t="shared" si="4"/>
        <v>5.299999999999943E-2</v>
      </c>
      <c r="K14">
        <f t="shared" si="5"/>
        <v>4.5999999999999996</v>
      </c>
      <c r="L14">
        <f t="shared" si="6"/>
        <v>-2.0000000000002585E-3</v>
      </c>
      <c r="M14">
        <f t="shared" si="7"/>
        <v>0.10000000000000053</v>
      </c>
      <c r="N14">
        <f t="shared" si="8"/>
        <v>-2.0000000000002478E-2</v>
      </c>
    </row>
    <row r="15" spans="1:14" x14ac:dyDescent="0.3">
      <c r="D15" s="3">
        <v>4.8</v>
      </c>
      <c r="E15" s="3">
        <v>559.79999999999995</v>
      </c>
      <c r="F15">
        <f t="shared" si="0"/>
        <v>0.55979999999999996</v>
      </c>
      <c r="G15">
        <f t="shared" si="1"/>
        <v>4.75</v>
      </c>
      <c r="H15">
        <f t="shared" si="2"/>
        <v>1.3299999999999979E-2</v>
      </c>
      <c r="I15">
        <f t="shared" si="3"/>
        <v>9.9999999999999645E-2</v>
      </c>
      <c r="J15">
        <f t="shared" si="4"/>
        <v>0.13300000000000026</v>
      </c>
      <c r="K15">
        <f t="shared" si="5"/>
        <v>4.7</v>
      </c>
      <c r="L15">
        <f t="shared" si="6"/>
        <v>8.000000000000082E-2</v>
      </c>
      <c r="M15">
        <f t="shared" si="7"/>
        <v>9.9999999999999645E-2</v>
      </c>
      <c r="N15">
        <f t="shared" si="8"/>
        <v>0.80000000000001104</v>
      </c>
    </row>
    <row r="16" spans="1:14" x14ac:dyDescent="0.3">
      <c r="D16" s="3">
        <v>4.9000000000000004</v>
      </c>
      <c r="E16" s="3">
        <v>570.29999999999995</v>
      </c>
      <c r="F16">
        <f t="shared" si="0"/>
        <v>0.57029999999999992</v>
      </c>
      <c r="G16">
        <f t="shared" si="1"/>
        <v>4.8499999999999996</v>
      </c>
      <c r="H16">
        <f t="shared" si="2"/>
        <v>1.0499999999999954E-2</v>
      </c>
      <c r="I16">
        <f t="shared" si="3"/>
        <v>0.10000000000000053</v>
      </c>
      <c r="J16">
        <f t="shared" si="4"/>
        <v>0.10499999999999898</v>
      </c>
      <c r="K16">
        <f t="shared" si="5"/>
        <v>4.8</v>
      </c>
      <c r="L16">
        <f t="shared" si="6"/>
        <v>-2.8000000000001274E-2</v>
      </c>
      <c r="M16">
        <f t="shared" si="7"/>
        <v>9.9999999999999645E-2</v>
      </c>
      <c r="N16">
        <f t="shared" si="8"/>
        <v>-0.28000000000001374</v>
      </c>
    </row>
    <row r="17" spans="4:14" x14ac:dyDescent="0.3">
      <c r="D17" s="3">
        <v>5</v>
      </c>
      <c r="E17" s="3">
        <v>598.20000000000005</v>
      </c>
      <c r="F17">
        <f t="shared" si="0"/>
        <v>0.59820000000000007</v>
      </c>
      <c r="G17">
        <f t="shared" si="1"/>
        <v>4.95</v>
      </c>
      <c r="H17">
        <f t="shared" si="2"/>
        <v>2.7900000000000147E-2</v>
      </c>
      <c r="I17">
        <f t="shared" si="3"/>
        <v>9.9999999999999645E-2</v>
      </c>
      <c r="J17">
        <f t="shared" si="4"/>
        <v>0.27900000000000247</v>
      </c>
      <c r="K17">
        <f t="shared" si="5"/>
        <v>4.9000000000000004</v>
      </c>
      <c r="L17">
        <f t="shared" si="6"/>
        <v>0.17400000000000349</v>
      </c>
      <c r="M17">
        <f t="shared" si="7"/>
        <v>0.10000000000000053</v>
      </c>
      <c r="N17">
        <f t="shared" si="8"/>
        <v>1.7400000000000255</v>
      </c>
    </row>
    <row r="18" spans="4:14" x14ac:dyDescent="0.3">
      <c r="D18" s="3">
        <v>5.0999999999999996</v>
      </c>
      <c r="E18" s="3">
        <v>1068.3</v>
      </c>
      <c r="F18">
        <f t="shared" si="0"/>
        <v>1.0683</v>
      </c>
      <c r="G18">
        <f t="shared" si="1"/>
        <v>5.05</v>
      </c>
      <c r="H18">
        <f t="shared" si="2"/>
        <v>0.47009999999999996</v>
      </c>
      <c r="I18">
        <f t="shared" si="3"/>
        <v>9.9999999999999645E-2</v>
      </c>
      <c r="J18">
        <f t="shared" si="4"/>
        <v>4.7010000000000165</v>
      </c>
      <c r="K18">
        <f t="shared" si="5"/>
        <v>5</v>
      </c>
      <c r="L18">
        <f t="shared" si="6"/>
        <v>4.4220000000000139</v>
      </c>
      <c r="M18">
        <f t="shared" si="7"/>
        <v>9.9999999999999645E-2</v>
      </c>
      <c r="N18">
        <f t="shared" si="8"/>
        <v>44.220000000000297</v>
      </c>
    </row>
    <row r="19" spans="4:14" x14ac:dyDescent="0.3">
      <c r="D19" s="3">
        <v>5.2</v>
      </c>
      <c r="E19" s="3">
        <v>1110.9000000000001</v>
      </c>
      <c r="F19">
        <f t="shared" si="0"/>
        <v>1.1109</v>
      </c>
      <c r="G19">
        <f t="shared" si="1"/>
        <v>5.15</v>
      </c>
      <c r="H19">
        <f t="shared" si="2"/>
        <v>4.2599999999999971E-2</v>
      </c>
      <c r="I19">
        <f t="shared" si="3"/>
        <v>0.10000000000000053</v>
      </c>
      <c r="J19">
        <f t="shared" si="4"/>
        <v>0.42599999999999744</v>
      </c>
      <c r="K19">
        <f t="shared" si="5"/>
        <v>5.0999999999999996</v>
      </c>
      <c r="L19">
        <f t="shared" si="6"/>
        <v>-4.275000000000019</v>
      </c>
      <c r="M19">
        <f t="shared" si="7"/>
        <v>0.10000000000000053</v>
      </c>
      <c r="N19">
        <f t="shared" si="8"/>
        <v>-42.749999999999964</v>
      </c>
    </row>
    <row r="20" spans="4:14" x14ac:dyDescent="0.3">
      <c r="D20" s="3">
        <v>5.3</v>
      </c>
      <c r="E20" s="3">
        <v>1131.0999999999999</v>
      </c>
      <c r="F20">
        <f t="shared" si="0"/>
        <v>1.1311</v>
      </c>
      <c r="G20">
        <f t="shared" si="1"/>
        <v>5.25</v>
      </c>
      <c r="H20">
        <f t="shared" si="2"/>
        <v>2.0199999999999996E-2</v>
      </c>
      <c r="I20">
        <f t="shared" si="3"/>
        <v>9.9999999999999645E-2</v>
      </c>
      <c r="J20">
        <f t="shared" si="4"/>
        <v>0.20200000000000068</v>
      </c>
      <c r="K20">
        <f t="shared" si="5"/>
        <v>5.2</v>
      </c>
      <c r="L20">
        <f t="shared" si="6"/>
        <v>-0.22399999999999676</v>
      </c>
      <c r="M20">
        <f t="shared" si="7"/>
        <v>9.9999999999999645E-2</v>
      </c>
      <c r="N20">
        <f t="shared" si="8"/>
        <v>-2.2399999999999753</v>
      </c>
    </row>
    <row r="21" spans="4:14" x14ac:dyDescent="0.3">
      <c r="D21" s="3">
        <v>5.4</v>
      </c>
      <c r="E21" s="3">
        <v>1143.0999999999999</v>
      </c>
      <c r="F21">
        <f t="shared" si="0"/>
        <v>1.1431</v>
      </c>
      <c r="G21">
        <f t="shared" si="1"/>
        <v>5.35</v>
      </c>
      <c r="H21">
        <f t="shared" si="2"/>
        <v>1.2000000000000011E-2</v>
      </c>
      <c r="I21">
        <f t="shared" si="3"/>
        <v>0.10000000000000053</v>
      </c>
      <c r="J21">
        <f t="shared" si="4"/>
        <v>0.11999999999999947</v>
      </c>
      <c r="K21">
        <f t="shared" si="5"/>
        <v>5.3</v>
      </c>
      <c r="L21">
        <f t="shared" si="6"/>
        <v>-8.2000000000001211E-2</v>
      </c>
      <c r="M21">
        <f t="shared" si="7"/>
        <v>9.9999999999999645E-2</v>
      </c>
      <c r="N21">
        <f t="shared" si="8"/>
        <v>-0.82000000000001505</v>
      </c>
    </row>
    <row r="22" spans="4:14" x14ac:dyDescent="0.3">
      <c r="D22" s="3">
        <v>5.5</v>
      </c>
      <c r="E22" s="3">
        <v>1153.2</v>
      </c>
      <c r="F22">
        <f t="shared" si="0"/>
        <v>1.1532</v>
      </c>
      <c r="G22">
        <f t="shared" si="1"/>
        <v>5.45</v>
      </c>
      <c r="H22">
        <f t="shared" si="2"/>
        <v>1.0099999999999998E-2</v>
      </c>
      <c r="I22">
        <f t="shared" si="3"/>
        <v>9.9999999999999645E-2</v>
      </c>
      <c r="J22">
        <f t="shared" si="4"/>
        <v>0.10100000000000034</v>
      </c>
      <c r="K22">
        <f t="shared" si="5"/>
        <v>5.4</v>
      </c>
      <c r="L22">
        <f t="shared" si="6"/>
        <v>-1.8999999999999129E-2</v>
      </c>
      <c r="M22">
        <f t="shared" si="7"/>
        <v>0.10000000000000053</v>
      </c>
      <c r="N22">
        <f t="shared" si="8"/>
        <v>-0.18999999999999029</v>
      </c>
    </row>
    <row r="23" spans="4:14" x14ac:dyDescent="0.3">
      <c r="D23" s="3">
        <v>5.6</v>
      </c>
      <c r="E23" s="3">
        <v>1156.5999999999999</v>
      </c>
      <c r="F23">
        <f t="shared" si="0"/>
        <v>1.1565999999999999</v>
      </c>
      <c r="G23">
        <f t="shared" si="1"/>
        <v>5.55</v>
      </c>
      <c r="H23">
        <f t="shared" si="2"/>
        <v>3.3999999999998476E-3</v>
      </c>
      <c r="I23">
        <f t="shared" si="3"/>
        <v>9.9999999999999645E-2</v>
      </c>
      <c r="J23">
        <f t="shared" si="4"/>
        <v>3.3999999999998594E-2</v>
      </c>
      <c r="K23">
        <f t="shared" si="5"/>
        <v>5.5</v>
      </c>
      <c r="L23">
        <f t="shared" si="6"/>
        <v>-6.7000000000001753E-2</v>
      </c>
      <c r="M23">
        <f t="shared" si="7"/>
        <v>9.9999999999999645E-2</v>
      </c>
      <c r="N23">
        <f t="shared" si="8"/>
        <v>-0.67000000000001991</v>
      </c>
    </row>
    <row r="24" spans="4:14" x14ac:dyDescent="0.3">
      <c r="D24" s="3">
        <v>5.7</v>
      </c>
      <c r="E24" s="3">
        <v>1164.0999999999999</v>
      </c>
      <c r="F24">
        <f t="shared" si="0"/>
        <v>1.1640999999999999</v>
      </c>
      <c r="G24">
        <f t="shared" si="1"/>
        <v>5.65</v>
      </c>
      <c r="H24">
        <f t="shared" si="2"/>
        <v>7.5000000000000622E-3</v>
      </c>
      <c r="I24">
        <f t="shared" si="3"/>
        <v>0.10000000000000053</v>
      </c>
      <c r="J24">
        <f t="shared" si="4"/>
        <v>7.5000000000000219E-2</v>
      </c>
      <c r="K24">
        <f t="shared" si="5"/>
        <v>5.6</v>
      </c>
      <c r="L24">
        <f t="shared" si="6"/>
        <v>4.1000000000001625E-2</v>
      </c>
      <c r="M24">
        <f t="shared" si="7"/>
        <v>0.10000000000000053</v>
      </c>
      <c r="N24">
        <f t="shared" si="8"/>
        <v>0.41000000000001408</v>
      </c>
    </row>
    <row r="25" spans="4:14" x14ac:dyDescent="0.3">
      <c r="D25" s="3">
        <v>6</v>
      </c>
      <c r="E25" s="3">
        <v>1175.5999999999999</v>
      </c>
      <c r="F25">
        <f t="shared" si="0"/>
        <v>1.1756</v>
      </c>
      <c r="G25">
        <f t="shared" si="1"/>
        <v>5.85</v>
      </c>
      <c r="H25">
        <f t="shared" si="2"/>
        <v>1.1500000000000066E-2</v>
      </c>
      <c r="I25">
        <f t="shared" si="3"/>
        <v>0.29999999999999982</v>
      </c>
      <c r="J25">
        <f t="shared" si="4"/>
        <v>3.8333333333333573E-2</v>
      </c>
      <c r="K25">
        <f t="shared" si="5"/>
        <v>5.75</v>
      </c>
      <c r="L25">
        <f t="shared" si="6"/>
        <v>-3.6666666666666646E-2</v>
      </c>
      <c r="M25">
        <f t="shared" si="7"/>
        <v>0.19999999999999929</v>
      </c>
      <c r="N25">
        <f t="shared" si="8"/>
        <v>-0.18333333333333388</v>
      </c>
    </row>
    <row r="26" spans="4:14" x14ac:dyDescent="0.3">
      <c r="D26" s="3">
        <v>7</v>
      </c>
      <c r="E26" s="3">
        <v>1195.3</v>
      </c>
      <c r="F26">
        <f t="shared" si="0"/>
        <v>1.1953</v>
      </c>
      <c r="G26">
        <f t="shared" si="1"/>
        <v>6.5</v>
      </c>
      <c r="H26">
        <f t="shared" si="2"/>
        <v>1.9700000000000051E-2</v>
      </c>
      <c r="I26">
        <f t="shared" si="3"/>
        <v>1</v>
      </c>
      <c r="J26">
        <f t="shared" si="4"/>
        <v>1.9700000000000051E-2</v>
      </c>
      <c r="K26">
        <f t="shared" si="5"/>
        <v>6.1749999999999998</v>
      </c>
      <c r="L26">
        <f t="shared" si="6"/>
        <v>-1.8633333333333522E-2</v>
      </c>
      <c r="M26">
        <f t="shared" si="7"/>
        <v>0.65000000000000036</v>
      </c>
      <c r="N26">
        <f t="shared" si="8"/>
        <v>-2.8666666666666941E-2</v>
      </c>
    </row>
    <row r="27" spans="4:14" x14ac:dyDescent="0.3">
      <c r="D27" s="3">
        <v>8</v>
      </c>
      <c r="E27" s="3">
        <v>1206.7</v>
      </c>
      <c r="F27">
        <f t="shared" si="0"/>
        <v>1.2067000000000001</v>
      </c>
      <c r="G27">
        <f t="shared" si="1"/>
        <v>7.5</v>
      </c>
      <c r="H27">
        <f t="shared" si="2"/>
        <v>1.1400000000000077E-2</v>
      </c>
      <c r="I27">
        <f t="shared" si="3"/>
        <v>1</v>
      </c>
      <c r="J27">
        <f t="shared" si="4"/>
        <v>1.1400000000000077E-2</v>
      </c>
      <c r="K27">
        <f t="shared" si="5"/>
        <v>7</v>
      </c>
      <c r="L27">
        <f t="shared" si="6"/>
        <v>-8.2999999999999741E-3</v>
      </c>
      <c r="M27">
        <f t="shared" si="7"/>
        <v>1</v>
      </c>
      <c r="N27">
        <f t="shared" si="8"/>
        <v>-8.2999999999999741E-3</v>
      </c>
    </row>
    <row r="28" spans="4:14" x14ac:dyDescent="0.3">
      <c r="D28" s="3">
        <v>9</v>
      </c>
      <c r="E28" s="3">
        <v>1214.4000000000001</v>
      </c>
      <c r="F28">
        <f t="shared" si="0"/>
        <v>1.2144000000000001</v>
      </c>
      <c r="G28">
        <f t="shared" si="1"/>
        <v>8.5</v>
      </c>
      <c r="H28">
        <f t="shared" si="2"/>
        <v>7.7000000000000401E-3</v>
      </c>
      <c r="I28">
        <f t="shared" si="3"/>
        <v>1</v>
      </c>
      <c r="J28">
        <f t="shared" si="4"/>
        <v>7.7000000000000401E-3</v>
      </c>
      <c r="K28">
        <f t="shared" si="5"/>
        <v>8</v>
      </c>
      <c r="L28">
        <f t="shared" si="6"/>
        <v>-3.7000000000000366E-3</v>
      </c>
      <c r="M28">
        <f t="shared" si="7"/>
        <v>1</v>
      </c>
      <c r="N28">
        <f t="shared" si="8"/>
        <v>-3.7000000000000366E-3</v>
      </c>
    </row>
    <row r="29" spans="4:14" x14ac:dyDescent="0.3">
      <c r="D29" s="3">
        <v>10</v>
      </c>
      <c r="E29" s="3">
        <v>1220.5</v>
      </c>
      <c r="F29">
        <f t="shared" si="0"/>
        <v>1.2204999999999999</v>
      </c>
      <c r="G29">
        <f t="shared" si="1"/>
        <v>9.5</v>
      </c>
      <c r="H29">
        <f t="shared" si="2"/>
        <v>6.0999999999997723E-3</v>
      </c>
      <c r="I29">
        <f t="shared" si="3"/>
        <v>1</v>
      </c>
      <c r="J29">
        <f t="shared" si="4"/>
        <v>6.0999999999997723E-3</v>
      </c>
      <c r="K29">
        <f t="shared" si="5"/>
        <v>9</v>
      </c>
      <c r="L29">
        <f t="shared" si="6"/>
        <v>-1.6000000000002679E-3</v>
      </c>
      <c r="M29">
        <f t="shared" si="7"/>
        <v>1</v>
      </c>
      <c r="N29">
        <f t="shared" si="8"/>
        <v>-1.6000000000002679E-3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opLeftCell="A9" workbookViewId="0">
      <selection activeCell="D3" sqref="D3:E41"/>
    </sheetView>
  </sheetViews>
  <sheetFormatPr defaultRowHeight="14.4" x14ac:dyDescent="0.3"/>
  <cols>
    <col min="1" max="2" width="16" customWidth="1"/>
    <col min="4" max="5" width="16" customWidth="1"/>
  </cols>
  <sheetData>
    <row r="1" spans="1:5" x14ac:dyDescent="0.3">
      <c r="A1" s="1" t="s">
        <v>4</v>
      </c>
      <c r="B1" t="s">
        <v>8</v>
      </c>
      <c r="D1" s="1" t="s">
        <v>5</v>
      </c>
      <c r="E1" t="s">
        <v>9</v>
      </c>
    </row>
    <row r="2" spans="1:5" x14ac:dyDescent="0.3">
      <c r="A2" s="2" t="s">
        <v>6</v>
      </c>
      <c r="B2" s="2" t="s">
        <v>7</v>
      </c>
      <c r="D2" s="2" t="s">
        <v>6</v>
      </c>
      <c r="E2" s="2" t="s">
        <v>7</v>
      </c>
    </row>
    <row r="3" spans="1:5" x14ac:dyDescent="0.3">
      <c r="A3" s="3">
        <v>0</v>
      </c>
      <c r="B3" s="3">
        <v>1.61</v>
      </c>
      <c r="D3" s="3">
        <v>0</v>
      </c>
      <c r="E3" s="3">
        <v>1.7</v>
      </c>
    </row>
    <row r="4" spans="1:5" x14ac:dyDescent="0.3">
      <c r="A4" s="3">
        <v>2</v>
      </c>
      <c r="B4" s="3">
        <v>1.76</v>
      </c>
      <c r="D4" s="3">
        <v>2</v>
      </c>
      <c r="E4" s="3">
        <v>1.83</v>
      </c>
    </row>
    <row r="5" spans="1:5" x14ac:dyDescent="0.3">
      <c r="A5" s="3">
        <v>4</v>
      </c>
      <c r="B5" s="3">
        <v>1.95</v>
      </c>
      <c r="D5" s="3">
        <v>4</v>
      </c>
      <c r="E5" s="3">
        <v>2.0099999999999998</v>
      </c>
    </row>
    <row r="6" spans="1:5" x14ac:dyDescent="0.3">
      <c r="A6" s="3">
        <v>6</v>
      </c>
      <c r="B6" s="3">
        <v>2.23</v>
      </c>
      <c r="D6" s="3">
        <v>6</v>
      </c>
      <c r="E6" s="3">
        <v>2.2999999999999998</v>
      </c>
    </row>
    <row r="7" spans="1:5" x14ac:dyDescent="0.3">
      <c r="A7" s="3">
        <v>8</v>
      </c>
      <c r="B7" s="3">
        <v>2.62</v>
      </c>
      <c r="D7" s="3">
        <v>8</v>
      </c>
      <c r="E7" s="3">
        <v>2.75</v>
      </c>
    </row>
    <row r="8" spans="1:5" x14ac:dyDescent="0.3">
      <c r="A8" s="3">
        <v>10</v>
      </c>
      <c r="B8" s="3">
        <v>3.8</v>
      </c>
      <c r="D8" s="3">
        <v>8.5</v>
      </c>
      <c r="E8" s="3">
        <v>2.94</v>
      </c>
    </row>
    <row r="9" spans="1:5" x14ac:dyDescent="0.3">
      <c r="A9" s="3">
        <v>12</v>
      </c>
      <c r="B9" s="3">
        <v>6.71</v>
      </c>
      <c r="D9" s="3">
        <v>9</v>
      </c>
      <c r="E9" s="3">
        <v>3.23</v>
      </c>
    </row>
    <row r="10" spans="1:5" x14ac:dyDescent="0.3">
      <c r="A10" s="3">
        <v>14</v>
      </c>
      <c r="B10" s="4">
        <v>6.68</v>
      </c>
      <c r="D10" s="3">
        <v>9.5</v>
      </c>
      <c r="E10" s="3">
        <v>4.13</v>
      </c>
    </row>
    <row r="11" spans="1:5" x14ac:dyDescent="0.3">
      <c r="A11" s="3">
        <v>16</v>
      </c>
      <c r="B11" s="3">
        <v>7.03</v>
      </c>
      <c r="D11" s="3">
        <v>9.6999999999999993</v>
      </c>
      <c r="E11" s="3">
        <v>4.9000000000000004</v>
      </c>
    </row>
    <row r="12" spans="1:5" x14ac:dyDescent="0.3">
      <c r="A12" s="3">
        <v>18</v>
      </c>
      <c r="B12" s="4">
        <v>7.42</v>
      </c>
      <c r="D12" s="3">
        <v>9.9</v>
      </c>
      <c r="E12" s="3">
        <v>5.36</v>
      </c>
    </row>
    <row r="13" spans="1:5" x14ac:dyDescent="0.3">
      <c r="A13" s="3">
        <v>20</v>
      </c>
      <c r="B13" s="3">
        <v>8.35</v>
      </c>
      <c r="D13" s="3">
        <v>10.1</v>
      </c>
      <c r="E13" s="3">
        <v>5.6</v>
      </c>
    </row>
    <row r="14" spans="1:5" x14ac:dyDescent="0.3">
      <c r="A14" s="3">
        <v>22</v>
      </c>
      <c r="B14" s="3">
        <v>10.9</v>
      </c>
      <c r="D14" s="3">
        <v>10.3</v>
      </c>
      <c r="E14" s="3">
        <v>5.77</v>
      </c>
    </row>
    <row r="15" spans="1:5" x14ac:dyDescent="0.3">
      <c r="A15" s="3">
        <v>24</v>
      </c>
      <c r="B15" s="3">
        <v>11.34</v>
      </c>
      <c r="D15" s="3">
        <v>10.5</v>
      </c>
      <c r="E15" s="3">
        <v>5.88</v>
      </c>
    </row>
    <row r="16" spans="1:5" x14ac:dyDescent="0.3">
      <c r="A16" s="3">
        <v>25</v>
      </c>
      <c r="B16" s="3">
        <v>11.47</v>
      </c>
      <c r="D16" s="3">
        <v>10.7</v>
      </c>
      <c r="E16" s="3">
        <v>6</v>
      </c>
    </row>
    <row r="17" spans="4:5" x14ac:dyDescent="0.3">
      <c r="D17" s="3">
        <v>10.9</v>
      </c>
      <c r="E17" s="3">
        <v>6.08</v>
      </c>
    </row>
    <row r="18" spans="4:5" x14ac:dyDescent="0.3">
      <c r="D18" s="3">
        <v>11.1</v>
      </c>
      <c r="E18" s="3">
        <v>6.15</v>
      </c>
    </row>
    <row r="19" spans="4:5" x14ac:dyDescent="0.3">
      <c r="D19" s="3">
        <v>11.3</v>
      </c>
      <c r="E19" s="3">
        <v>6.21</v>
      </c>
    </row>
    <row r="20" spans="4:5" x14ac:dyDescent="0.3">
      <c r="D20" s="3">
        <v>11.5</v>
      </c>
      <c r="E20" s="3">
        <v>6.28</v>
      </c>
    </row>
    <row r="21" spans="4:5" x14ac:dyDescent="0.3">
      <c r="D21" s="3">
        <v>12</v>
      </c>
      <c r="E21" s="3">
        <v>6.41</v>
      </c>
    </row>
    <row r="22" spans="4:5" x14ac:dyDescent="0.3">
      <c r="D22" s="3">
        <v>14</v>
      </c>
      <c r="E22" s="3">
        <v>6.8</v>
      </c>
    </row>
    <row r="23" spans="4:5" x14ac:dyDescent="0.3">
      <c r="D23" s="3">
        <v>16</v>
      </c>
      <c r="E23" s="3">
        <v>7.18</v>
      </c>
    </row>
    <row r="24" spans="4:5" x14ac:dyDescent="0.3">
      <c r="D24" s="3">
        <v>18</v>
      </c>
      <c r="E24" s="3">
        <v>7.65</v>
      </c>
    </row>
    <row r="25" spans="4:5" x14ac:dyDescent="0.3">
      <c r="D25" s="3">
        <v>18.5</v>
      </c>
      <c r="E25" s="3">
        <v>7.86</v>
      </c>
    </row>
    <row r="26" spans="4:5" x14ac:dyDescent="0.3">
      <c r="D26" s="3">
        <v>19</v>
      </c>
      <c r="E26" s="3">
        <v>8.2100000000000009</v>
      </c>
    </row>
    <row r="27" spans="4:5" x14ac:dyDescent="0.3">
      <c r="D27" s="3">
        <v>19.2</v>
      </c>
      <c r="E27" s="3">
        <v>8.43</v>
      </c>
    </row>
    <row r="28" spans="4:5" x14ac:dyDescent="0.3">
      <c r="D28" s="3">
        <v>19.399999999999999</v>
      </c>
      <c r="E28" s="3">
        <v>8.85</v>
      </c>
    </row>
    <row r="29" spans="4:5" x14ac:dyDescent="0.3">
      <c r="D29" s="3">
        <v>19.600000000000001</v>
      </c>
      <c r="E29" s="3">
        <v>9.58</v>
      </c>
    </row>
    <row r="30" spans="4:5" x14ac:dyDescent="0.3">
      <c r="D30" s="3">
        <v>19.8</v>
      </c>
      <c r="E30" s="3">
        <v>9.98</v>
      </c>
    </row>
    <row r="31" spans="4:5" x14ac:dyDescent="0.3">
      <c r="D31" s="3">
        <v>20</v>
      </c>
      <c r="E31" s="3">
        <v>10.3</v>
      </c>
    </row>
    <row r="32" spans="4:5" x14ac:dyDescent="0.3">
      <c r="D32" s="3">
        <v>20.2</v>
      </c>
      <c r="E32" s="4">
        <v>10.5</v>
      </c>
    </row>
    <row r="33" spans="4:5" x14ac:dyDescent="0.3">
      <c r="D33" s="3">
        <v>20.399999999999999</v>
      </c>
      <c r="E33" s="3">
        <v>10.64</v>
      </c>
    </row>
    <row r="34" spans="4:5" x14ac:dyDescent="0.3">
      <c r="D34" s="3">
        <v>20.6</v>
      </c>
      <c r="E34" s="3">
        <v>10.74</v>
      </c>
    </row>
    <row r="35" spans="4:5" x14ac:dyDescent="0.3">
      <c r="D35" s="3">
        <v>20.8</v>
      </c>
      <c r="E35" s="3">
        <v>10.83</v>
      </c>
    </row>
    <row r="36" spans="4:5" x14ac:dyDescent="0.3">
      <c r="D36" s="3">
        <v>21</v>
      </c>
      <c r="E36" s="3">
        <v>10.9</v>
      </c>
    </row>
    <row r="37" spans="4:5" x14ac:dyDescent="0.3">
      <c r="D37" s="3">
        <v>21.2</v>
      </c>
      <c r="E37" s="3">
        <v>10.95</v>
      </c>
    </row>
    <row r="38" spans="4:5" x14ac:dyDescent="0.3">
      <c r="D38" s="3">
        <v>21.4</v>
      </c>
      <c r="E38" s="3">
        <v>11.03</v>
      </c>
    </row>
    <row r="39" spans="4:5" x14ac:dyDescent="0.3">
      <c r="D39" s="3">
        <v>22</v>
      </c>
      <c r="E39" s="3">
        <v>11.15</v>
      </c>
    </row>
    <row r="40" spans="4:5" x14ac:dyDescent="0.3">
      <c r="D40" s="3">
        <v>24</v>
      </c>
      <c r="E40" s="3">
        <v>11.46</v>
      </c>
    </row>
    <row r="41" spans="4:5" x14ac:dyDescent="0.3">
      <c r="D41" s="3">
        <v>25</v>
      </c>
      <c r="E41" s="3">
        <v>11.57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opLeftCell="A39" workbookViewId="0">
      <selection activeCell="D3" sqref="D3:E56"/>
    </sheetView>
  </sheetViews>
  <sheetFormatPr defaultRowHeight="14.4" x14ac:dyDescent="0.3"/>
  <cols>
    <col min="1" max="2" width="16" customWidth="1"/>
  </cols>
  <sheetData>
    <row r="1" spans="1:8" x14ac:dyDescent="0.3">
      <c r="A1" s="1" t="s">
        <v>4</v>
      </c>
      <c r="B1" t="s">
        <v>8</v>
      </c>
      <c r="D1" s="1" t="s">
        <v>5</v>
      </c>
      <c r="E1" t="s">
        <v>9</v>
      </c>
    </row>
    <row r="2" spans="1:8" x14ac:dyDescent="0.3">
      <c r="A2" s="2" t="s">
        <v>6</v>
      </c>
      <c r="B2" s="2" t="s">
        <v>7</v>
      </c>
      <c r="D2" s="2" t="s">
        <v>6</v>
      </c>
      <c r="E2" s="2" t="s">
        <v>7</v>
      </c>
    </row>
    <row r="3" spans="1:8" x14ac:dyDescent="0.3">
      <c r="A3" s="3">
        <v>0</v>
      </c>
      <c r="B3" s="3">
        <v>2.46</v>
      </c>
      <c r="D3" s="3">
        <v>0</v>
      </c>
      <c r="E3" s="3">
        <v>2.4300000000000002</v>
      </c>
      <c r="G3" s="3"/>
      <c r="H3" s="3"/>
    </row>
    <row r="4" spans="1:8" x14ac:dyDescent="0.3">
      <c r="A4" s="3">
        <v>1</v>
      </c>
      <c r="B4" s="3">
        <v>2.94</v>
      </c>
      <c r="D4" s="3">
        <v>0.2</v>
      </c>
      <c r="E4" s="3">
        <v>2.5299999999999998</v>
      </c>
      <c r="G4" s="3"/>
      <c r="H4" s="3"/>
    </row>
    <row r="5" spans="1:8" x14ac:dyDescent="0.3">
      <c r="A5" s="3">
        <v>2</v>
      </c>
      <c r="B5" s="3">
        <v>5.73</v>
      </c>
      <c r="D5" s="3">
        <v>0.4</v>
      </c>
      <c r="E5" s="3">
        <v>2.54</v>
      </c>
      <c r="G5" s="3"/>
      <c r="H5" s="3"/>
    </row>
    <row r="6" spans="1:8" x14ac:dyDescent="0.3">
      <c r="A6" s="3">
        <v>3</v>
      </c>
      <c r="B6" s="3">
        <v>6.68</v>
      </c>
      <c r="D6" s="3">
        <v>0.6</v>
      </c>
      <c r="E6" s="3">
        <v>2.81</v>
      </c>
      <c r="G6" s="3"/>
      <c r="H6" s="3"/>
    </row>
    <row r="7" spans="1:8" x14ac:dyDescent="0.3">
      <c r="A7" s="3">
        <v>4</v>
      </c>
      <c r="B7" s="3">
        <v>7.82</v>
      </c>
      <c r="D7" s="3">
        <v>0.8</v>
      </c>
      <c r="E7" s="3">
        <v>2.9</v>
      </c>
      <c r="G7" s="3"/>
      <c r="H7" s="3"/>
    </row>
    <row r="8" spans="1:8" x14ac:dyDescent="0.3">
      <c r="A8" s="3">
        <v>6</v>
      </c>
      <c r="B8" s="3">
        <v>10.210000000000001</v>
      </c>
      <c r="D8" s="3">
        <v>1</v>
      </c>
      <c r="E8" s="3">
        <v>3.26</v>
      </c>
      <c r="G8" s="3"/>
      <c r="H8" s="3"/>
    </row>
    <row r="9" spans="1:8" x14ac:dyDescent="0.3">
      <c r="A9" s="3">
        <v>8</v>
      </c>
      <c r="B9" s="3">
        <v>10.71</v>
      </c>
      <c r="D9" s="3">
        <v>1.2</v>
      </c>
      <c r="E9" s="3">
        <v>4.7</v>
      </c>
      <c r="G9" s="3"/>
      <c r="H9" s="3"/>
    </row>
    <row r="10" spans="1:8" x14ac:dyDescent="0.3">
      <c r="A10" s="3">
        <v>10</v>
      </c>
      <c r="B10" s="3">
        <v>11</v>
      </c>
      <c r="D10" s="3">
        <v>1.4</v>
      </c>
      <c r="E10" s="3">
        <v>5.13</v>
      </c>
      <c r="G10" s="3"/>
      <c r="H10" s="3"/>
    </row>
    <row r="11" spans="1:8" x14ac:dyDescent="0.3">
      <c r="A11" s="3">
        <v>12</v>
      </c>
      <c r="B11" s="3">
        <v>11.17</v>
      </c>
      <c r="D11" s="3">
        <v>1.6</v>
      </c>
      <c r="E11" s="3">
        <v>5.3</v>
      </c>
      <c r="G11" s="3"/>
      <c r="H11" s="3"/>
    </row>
    <row r="12" spans="1:8" x14ac:dyDescent="0.3">
      <c r="A12" s="3">
        <v>14</v>
      </c>
      <c r="B12" s="3">
        <v>11.31</v>
      </c>
      <c r="D12" s="3">
        <v>1.8</v>
      </c>
      <c r="E12" s="3">
        <v>5.4</v>
      </c>
      <c r="G12" s="3"/>
      <c r="H12" s="3"/>
    </row>
    <row r="13" spans="1:8" x14ac:dyDescent="0.3">
      <c r="A13" s="3">
        <v>16</v>
      </c>
      <c r="B13" s="3">
        <v>11.43</v>
      </c>
      <c r="D13" s="3">
        <v>2</v>
      </c>
      <c r="E13" s="3">
        <v>5.56</v>
      </c>
      <c r="G13" s="3"/>
      <c r="H13" s="3"/>
    </row>
    <row r="14" spans="1:8" x14ac:dyDescent="0.3">
      <c r="A14" s="3">
        <v>18</v>
      </c>
      <c r="B14" s="3">
        <v>11.52</v>
      </c>
      <c r="D14" s="3">
        <v>2.2000000000000002</v>
      </c>
      <c r="E14" s="3">
        <v>5.64</v>
      </c>
      <c r="G14" s="3"/>
      <c r="H14" s="3"/>
    </row>
    <row r="15" spans="1:8" x14ac:dyDescent="0.3">
      <c r="A15" s="3">
        <v>20</v>
      </c>
      <c r="B15" s="3">
        <v>11.6</v>
      </c>
      <c r="D15" s="3">
        <v>2.4</v>
      </c>
      <c r="E15" s="3">
        <v>5.79</v>
      </c>
      <c r="G15" s="3"/>
      <c r="H15" s="3"/>
    </row>
    <row r="16" spans="1:8" x14ac:dyDescent="0.3">
      <c r="A16" s="3">
        <v>22</v>
      </c>
      <c r="B16" s="3">
        <v>11.67</v>
      </c>
      <c r="D16" s="3">
        <v>2.6</v>
      </c>
      <c r="E16" s="3">
        <v>5.87</v>
      </c>
      <c r="G16" s="3"/>
      <c r="H16" s="3"/>
    </row>
    <row r="17" spans="1:8" x14ac:dyDescent="0.3">
      <c r="A17" s="3">
        <v>24</v>
      </c>
      <c r="B17" s="3">
        <v>11.7</v>
      </c>
      <c r="D17" s="3">
        <v>2.8</v>
      </c>
      <c r="E17" s="3">
        <v>5.95</v>
      </c>
      <c r="G17" s="3"/>
      <c r="H17" s="3"/>
    </row>
    <row r="18" spans="1:8" x14ac:dyDescent="0.3">
      <c r="A18" s="3">
        <v>25</v>
      </c>
      <c r="B18" s="3">
        <v>11.7</v>
      </c>
      <c r="D18" s="3">
        <v>3</v>
      </c>
      <c r="E18" s="3">
        <v>6.06</v>
      </c>
      <c r="G18" s="3"/>
      <c r="H18" s="3"/>
    </row>
    <row r="19" spans="1:8" x14ac:dyDescent="0.3">
      <c r="A19" s="3"/>
      <c r="B19" s="3"/>
      <c r="D19" s="3">
        <v>3.2</v>
      </c>
      <c r="E19" s="3">
        <v>6.14</v>
      </c>
    </row>
    <row r="20" spans="1:8" x14ac:dyDescent="0.3">
      <c r="A20" s="3"/>
      <c r="B20" s="3"/>
      <c r="D20" s="3">
        <v>3.4</v>
      </c>
      <c r="E20" s="3">
        <v>6.2</v>
      </c>
    </row>
    <row r="21" spans="1:8" x14ac:dyDescent="0.3">
      <c r="A21" s="3"/>
      <c r="B21" s="3"/>
      <c r="D21" s="3">
        <v>3.6</v>
      </c>
      <c r="E21" s="3">
        <v>6.27</v>
      </c>
    </row>
    <row r="22" spans="1:8" x14ac:dyDescent="0.3">
      <c r="A22" s="3"/>
      <c r="B22" s="3"/>
      <c r="D22" s="3">
        <v>3.8</v>
      </c>
      <c r="E22" s="3">
        <v>6.38</v>
      </c>
    </row>
    <row r="23" spans="1:8" x14ac:dyDescent="0.3">
      <c r="A23" s="3"/>
      <c r="B23" s="3"/>
      <c r="D23" s="3">
        <v>4</v>
      </c>
      <c r="E23" s="3">
        <v>6.49</v>
      </c>
    </row>
    <row r="24" spans="1:8" x14ac:dyDescent="0.3">
      <c r="A24" s="3"/>
      <c r="B24" s="3"/>
      <c r="D24" s="3">
        <v>4.2</v>
      </c>
      <c r="E24" s="3">
        <v>6.58</v>
      </c>
    </row>
    <row r="25" spans="1:8" x14ac:dyDescent="0.3">
      <c r="A25" s="3"/>
      <c r="B25" s="3"/>
      <c r="D25" s="3">
        <v>4.4000000000000004</v>
      </c>
      <c r="E25" s="3">
        <v>6.7</v>
      </c>
    </row>
    <row r="26" spans="1:8" x14ac:dyDescent="0.3">
      <c r="A26" s="3"/>
      <c r="B26" s="3"/>
      <c r="D26" s="3">
        <v>4.5999999999999996</v>
      </c>
      <c r="E26" s="3">
        <v>6.79</v>
      </c>
    </row>
    <row r="27" spans="1:8" x14ac:dyDescent="0.3">
      <c r="A27" s="3"/>
      <c r="B27" s="3"/>
      <c r="D27" s="3">
        <v>4.8</v>
      </c>
      <c r="E27" s="3">
        <v>6.9</v>
      </c>
    </row>
    <row r="28" spans="1:8" x14ac:dyDescent="0.3">
      <c r="A28" s="3"/>
      <c r="B28" s="3"/>
      <c r="D28" s="3">
        <v>5</v>
      </c>
      <c r="E28" s="3">
        <v>7.05</v>
      </c>
    </row>
    <row r="29" spans="1:8" x14ac:dyDescent="0.3">
      <c r="A29" s="3"/>
      <c r="B29" s="3"/>
      <c r="D29" s="3">
        <v>5.2</v>
      </c>
      <c r="E29" s="3">
        <v>7.17</v>
      </c>
    </row>
    <row r="30" spans="1:8" x14ac:dyDescent="0.3">
      <c r="A30" s="3"/>
      <c r="B30" s="3"/>
      <c r="D30" s="3">
        <v>5.4</v>
      </c>
      <c r="E30" s="3">
        <v>7.3</v>
      </c>
    </row>
    <row r="31" spans="1:8" x14ac:dyDescent="0.3">
      <c r="A31" s="3"/>
      <c r="B31" s="3"/>
      <c r="D31" s="3">
        <v>5.6</v>
      </c>
      <c r="E31" s="3">
        <v>7.54</v>
      </c>
    </row>
    <row r="32" spans="1:8" x14ac:dyDescent="0.3">
      <c r="A32" s="3"/>
      <c r="B32" s="3"/>
      <c r="D32" s="3">
        <v>5.8</v>
      </c>
      <c r="E32" s="3">
        <v>7.82</v>
      </c>
    </row>
    <row r="33" spans="1:5" x14ac:dyDescent="0.3">
      <c r="A33" s="3"/>
      <c r="B33" s="3"/>
      <c r="D33" s="3">
        <v>6</v>
      </c>
      <c r="E33" s="3">
        <v>8.2899999999999991</v>
      </c>
    </row>
    <row r="34" spans="1:5" x14ac:dyDescent="0.3">
      <c r="A34" s="3"/>
      <c r="B34" s="3"/>
      <c r="D34" s="3">
        <v>6.2</v>
      </c>
      <c r="E34" s="3">
        <v>8.5299999999999994</v>
      </c>
    </row>
    <row r="35" spans="1:5" x14ac:dyDescent="0.3">
      <c r="D35" s="3">
        <v>6.4</v>
      </c>
      <c r="E35" s="3">
        <v>8.8800000000000008</v>
      </c>
    </row>
    <row r="36" spans="1:5" x14ac:dyDescent="0.3">
      <c r="D36" s="3">
        <v>6.6</v>
      </c>
      <c r="E36" s="3">
        <v>9.08</v>
      </c>
    </row>
    <row r="37" spans="1:5" x14ac:dyDescent="0.3">
      <c r="D37" s="3">
        <v>6.8</v>
      </c>
      <c r="E37" s="3">
        <v>9.24</v>
      </c>
    </row>
    <row r="38" spans="1:5" x14ac:dyDescent="0.3">
      <c r="D38" s="3">
        <v>7</v>
      </c>
      <c r="E38" s="3">
        <v>9.36</v>
      </c>
    </row>
    <row r="39" spans="1:5" x14ac:dyDescent="0.3">
      <c r="D39" s="3">
        <v>7.2</v>
      </c>
      <c r="E39" s="3">
        <v>9.48</v>
      </c>
    </row>
    <row r="40" spans="1:5" x14ac:dyDescent="0.3">
      <c r="D40" s="3">
        <v>7.4</v>
      </c>
      <c r="E40" s="3">
        <v>9.57</v>
      </c>
    </row>
    <row r="41" spans="1:5" x14ac:dyDescent="0.3">
      <c r="D41" s="3">
        <v>7.6</v>
      </c>
      <c r="E41" s="3">
        <v>9.69</v>
      </c>
    </row>
    <row r="42" spans="1:5" x14ac:dyDescent="0.3">
      <c r="D42" s="3">
        <v>7.8</v>
      </c>
      <c r="E42" s="3">
        <v>9.7799999999999994</v>
      </c>
    </row>
    <row r="43" spans="1:5" x14ac:dyDescent="0.3">
      <c r="D43" s="3">
        <v>8</v>
      </c>
      <c r="E43" s="3">
        <v>9.85</v>
      </c>
    </row>
    <row r="44" spans="1:5" x14ac:dyDescent="0.3">
      <c r="D44" s="3">
        <v>8.1999999999999993</v>
      </c>
      <c r="E44" s="3">
        <v>9.9</v>
      </c>
    </row>
    <row r="45" spans="1:5" x14ac:dyDescent="0.3">
      <c r="D45" s="3">
        <v>8.4</v>
      </c>
      <c r="E45" s="3">
        <v>9.93</v>
      </c>
    </row>
    <row r="46" spans="1:5" x14ac:dyDescent="0.3">
      <c r="D46" s="3">
        <v>8.6</v>
      </c>
      <c r="E46" s="3">
        <v>10</v>
      </c>
    </row>
    <row r="47" spans="1:5" x14ac:dyDescent="0.3">
      <c r="D47" s="3">
        <v>8.8000000000000007</v>
      </c>
      <c r="E47" s="3">
        <v>10.07</v>
      </c>
    </row>
    <row r="48" spans="1:5" x14ac:dyDescent="0.3">
      <c r="D48" s="3">
        <v>9</v>
      </c>
      <c r="E48" s="3">
        <v>10.11</v>
      </c>
    </row>
    <row r="49" spans="4:5" x14ac:dyDescent="0.3">
      <c r="D49" s="3">
        <v>11</v>
      </c>
      <c r="E49" s="3">
        <v>10.5</v>
      </c>
    </row>
    <row r="50" spans="4:5" x14ac:dyDescent="0.3">
      <c r="D50" s="3">
        <v>13</v>
      </c>
      <c r="E50" s="3">
        <v>10.75</v>
      </c>
    </row>
    <row r="51" spans="4:5" x14ac:dyDescent="0.3">
      <c r="D51" s="3">
        <v>15</v>
      </c>
      <c r="E51" s="3">
        <v>11.07</v>
      </c>
    </row>
    <row r="52" spans="4:5" x14ac:dyDescent="0.3">
      <c r="D52" s="3">
        <v>17</v>
      </c>
      <c r="E52" s="3">
        <v>11.2</v>
      </c>
    </row>
    <row r="53" spans="4:5" x14ac:dyDescent="0.3">
      <c r="D53" s="3">
        <v>19</v>
      </c>
      <c r="E53" s="3">
        <v>11.3</v>
      </c>
    </row>
    <row r="54" spans="4:5" x14ac:dyDescent="0.3">
      <c r="D54" s="3">
        <v>21</v>
      </c>
      <c r="E54" s="3">
        <v>11.43</v>
      </c>
    </row>
    <row r="55" spans="4:5" x14ac:dyDescent="0.3">
      <c r="D55" s="3">
        <v>23</v>
      </c>
      <c r="E55" s="3">
        <v>11.51</v>
      </c>
    </row>
    <row r="56" spans="4:5" x14ac:dyDescent="0.3">
      <c r="D56" s="3">
        <v>25</v>
      </c>
      <c r="E56" s="3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Ce4+ titration</vt:lpstr>
      <vt:lpstr>H3PO4 Titration</vt:lpstr>
      <vt:lpstr>Mystery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Christofer Halim</cp:lastModifiedBy>
  <dcterms:created xsi:type="dcterms:W3CDTF">2026-10-26T10:53:01Z</dcterms:created>
  <dcterms:modified xsi:type="dcterms:W3CDTF">2026-10-27T14:23:07Z</dcterms:modified>
</cp:coreProperties>
</file>